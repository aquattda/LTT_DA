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C4ADD03F-BDFB-4E6D-84E9-BC4AA546215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mp-sale" sheetId="1" r:id="rId1"/>
    <sheet name="LeastSquareApproximation" sheetId="2" r:id="rId2"/>
    <sheet name="SLOP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C3" i="3"/>
  <c r="B13" i="1" l="1"/>
  <c r="B14" i="1"/>
  <c r="B12" i="1"/>
  <c r="D7" i="2"/>
  <c r="D6" i="2"/>
  <c r="D9" i="2" s="1"/>
  <c r="D5" i="2"/>
  <c r="D4" i="2"/>
  <c r="D3" i="2"/>
  <c r="D8" i="2" l="1"/>
  <c r="D12" i="2" s="1"/>
  <c r="D13" i="2" l="1"/>
  <c r="D14" i="2"/>
</calcChain>
</file>

<file path=xl/sharedStrings.xml><?xml version="1.0" encoding="utf-8"?>
<sst xmlns="http://schemas.openxmlformats.org/spreadsheetml/2006/main" count="21" uniqueCount="15">
  <si>
    <t>SUM(X)</t>
  </si>
  <si>
    <t>x</t>
  </si>
  <si>
    <t>y</t>
  </si>
  <si>
    <t>SUM(Y)</t>
  </si>
  <si>
    <t>SUM(XY)</t>
  </si>
  <si>
    <t>SUM(X^2)</t>
  </si>
  <si>
    <t>n</t>
  </si>
  <si>
    <t>m</t>
  </si>
  <si>
    <t>b</t>
  </si>
  <si>
    <t>Scoring Data</t>
  </si>
  <si>
    <t>Prediction</t>
  </si>
  <si>
    <t>Temperature (F)</t>
  </si>
  <si>
    <t>Ice Cream Sale (dollar in thousand)</t>
  </si>
  <si>
    <t>m=</t>
  </si>
  <si>
    <t>b=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</si>
</sst>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'temp-sale'!$B$1</c:f>
              <c:strCache>
                <c:ptCount val="1"/>
                <c:pt idx="0">
                  <c:v>Ice Cream Sale (dollar in thousand)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'temp-sale'!$A$2:$A$9</c:f>
              <c:numCache>
                <c:formatCode>General</c:formatCode>
                <c:ptCount val="8"/>
                <c:pt idx="0">
                  <c:v>91</c:v>
                </c:pt>
                <c:pt idx="1">
                  <c:v>87</c:v>
                </c:pt>
                <c:pt idx="2">
                  <c:v>86</c:v>
                </c:pt>
                <c:pt idx="3">
                  <c:v>88</c:v>
                </c:pt>
                <c:pt idx="4">
                  <c:v>92.8</c:v>
                </c:pt>
                <c:pt idx="5">
                  <c:v>95.2</c:v>
                </c:pt>
                <c:pt idx="6">
                  <c:v>93.3</c:v>
                </c:pt>
                <c:pt idx="7">
                  <c:v>97.7</c:v>
                </c:pt>
              </c:numCache>
            </c:numRef>
          </c:xVal>
          <c:yVal>
            <c:numRef>
              <c:f>'temp-sale'!$B$2:$B$9</c:f>
              <c:numCache>
                <c:formatCode>General</c:formatCode>
                <c:ptCount val="8"/>
                <c:pt idx="0">
                  <c:v>89.8</c:v>
                </c:pt>
                <c:pt idx="1">
                  <c:v>90.2</c:v>
                </c:pt>
                <c:pt idx="2">
                  <c:v>81.099999999999994</c:v>
                </c:pt>
                <c:pt idx="3">
                  <c:v>83</c:v>
                </c:pt>
                <c:pt idx="4">
                  <c:v>90.9</c:v>
                </c:pt>
                <c:pt idx="5">
                  <c:v>119</c:v>
                </c:pt>
                <c:pt idx="6">
                  <c:v>94.9</c:v>
                </c:pt>
                <c:pt idx="7">
                  <c:v>132.4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E5-49A8-9072-4B8188C15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286464"/>
        <c:axId val="1094288544"/>
      </c:scatterChart>
      <c:valAx>
        <c:axId val="109428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88544"/>
        <c:crosses val="autoZero"/>
        <c:crossBetween val="midCat"/>
      </c:valAx>
      <c:valAx>
        <c:axId val="109428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8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76200</xdr:rowOff>
    </xdr:from>
    <xdr:to>
      <xdr:col>11</xdr:col>
      <xdr:colOff>381000</xdr:colOff>
      <xdr:row>15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G19" sqref="G19"/>
    </sheetView>
  </sheetViews>
  <sheetFormatPr defaultRowHeight="14.4" x14ac:dyDescent="0.3"/>
  <cols>
    <col min="1" max="1" width="16.88671875" bestFit="1" customWidth="1"/>
    <col min="2" max="2" width="35.88671875" bestFit="1" customWidth="1"/>
    <col min="3" max="3" width="13.5546875" customWidth="1"/>
    <col min="4" max="4" width="15" customWidth="1"/>
  </cols>
  <sheetData>
    <row r="1" spans="1:4" ht="15.6" x14ac:dyDescent="0.3">
      <c r="A1" s="1" t="s">
        <v>11</v>
      </c>
      <c r="B1" s="1" t="s">
        <v>12</v>
      </c>
      <c r="C1" s="2"/>
      <c r="D1" s="2"/>
    </row>
    <row r="2" spans="1:4" ht="15.6" x14ac:dyDescent="0.3">
      <c r="A2" s="2">
        <v>91</v>
      </c>
      <c r="B2" s="2">
        <v>89.8</v>
      </c>
      <c r="C2" s="3"/>
      <c r="D2" s="2"/>
    </row>
    <row r="3" spans="1:4" ht="15.6" x14ac:dyDescent="0.3">
      <c r="A3" s="2">
        <v>87</v>
      </c>
      <c r="B3" s="2">
        <v>90.2</v>
      </c>
      <c r="C3" s="3"/>
      <c r="D3" s="2"/>
    </row>
    <row r="4" spans="1:4" ht="15.6" x14ac:dyDescent="0.3">
      <c r="A4" s="2">
        <v>86</v>
      </c>
      <c r="B4" s="2">
        <v>81.099999999999994</v>
      </c>
      <c r="C4" s="3"/>
      <c r="D4" s="2"/>
    </row>
    <row r="5" spans="1:4" ht="15.6" x14ac:dyDescent="0.3">
      <c r="A5" s="2">
        <v>88</v>
      </c>
      <c r="B5" s="2">
        <v>83</v>
      </c>
      <c r="C5" s="3"/>
      <c r="D5" s="2"/>
    </row>
    <row r="6" spans="1:4" ht="15.6" x14ac:dyDescent="0.3">
      <c r="A6" s="2">
        <v>92.8</v>
      </c>
      <c r="B6" s="2">
        <v>90.9</v>
      </c>
      <c r="C6" s="3"/>
      <c r="D6" s="2"/>
    </row>
    <row r="7" spans="1:4" ht="15.6" x14ac:dyDescent="0.3">
      <c r="A7" s="2">
        <v>95.2</v>
      </c>
      <c r="B7" s="2">
        <v>119</v>
      </c>
      <c r="C7" s="3"/>
      <c r="D7" s="2"/>
    </row>
    <row r="8" spans="1:4" ht="15.6" x14ac:dyDescent="0.3">
      <c r="A8" s="2">
        <v>93.3</v>
      </c>
      <c r="B8" s="2">
        <v>94.9</v>
      </c>
      <c r="C8" s="3"/>
      <c r="D8" s="2"/>
    </row>
    <row r="9" spans="1:4" ht="15.6" x14ac:dyDescent="0.3">
      <c r="A9" s="2">
        <v>97.7</v>
      </c>
      <c r="B9" s="2">
        <v>132.4</v>
      </c>
      <c r="C9" s="3"/>
      <c r="D9" s="2"/>
    </row>
    <row r="10" spans="1:4" ht="15.6" x14ac:dyDescent="0.3">
      <c r="A10" s="2"/>
      <c r="B10" s="2"/>
      <c r="C10" s="2"/>
      <c r="D10" s="2"/>
    </row>
    <row r="11" spans="1:4" ht="15.6" x14ac:dyDescent="0.3">
      <c r="A11" s="3" t="s">
        <v>9</v>
      </c>
      <c r="B11" s="1" t="s">
        <v>10</v>
      </c>
      <c r="C11" t="s">
        <v>13</v>
      </c>
      <c r="D11">
        <v>3.8393999999999999</v>
      </c>
    </row>
    <row r="12" spans="1:4" ht="15.6" x14ac:dyDescent="0.3">
      <c r="A12" s="2">
        <v>88.8</v>
      </c>
      <c r="B12" s="4">
        <f>D$11*A12+D$12</f>
        <v>87.768720000000002</v>
      </c>
      <c r="C12" t="s">
        <v>14</v>
      </c>
      <c r="D12">
        <v>-253.17</v>
      </c>
    </row>
    <row r="13" spans="1:4" ht="15.6" x14ac:dyDescent="0.3">
      <c r="A13" s="2">
        <v>96.9</v>
      </c>
      <c r="B13" s="4">
        <f>D$11*A13+D$12</f>
        <v>118.86786000000004</v>
      </c>
    </row>
    <row r="14" spans="1:4" ht="15.6" x14ac:dyDescent="0.3">
      <c r="A14" s="2">
        <v>94.7</v>
      </c>
      <c r="B14" s="4">
        <f>D$11*A14+D$12</f>
        <v>110.42118000000002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workbookViewId="0">
      <selection activeCell="O12" sqref="O12"/>
    </sheetView>
  </sheetViews>
  <sheetFormatPr defaultRowHeight="14.4" x14ac:dyDescent="0.3"/>
  <cols>
    <col min="1" max="1" width="9.6640625" customWidth="1"/>
    <col min="2" max="2" width="10.5546875" customWidth="1"/>
    <col min="3" max="3" width="13.5546875" customWidth="1"/>
    <col min="4" max="4" width="15" customWidth="1"/>
  </cols>
  <sheetData>
    <row r="1" spans="1:4" ht="15.6" x14ac:dyDescent="0.3">
      <c r="A1" s="1" t="s">
        <v>1</v>
      </c>
      <c r="B1" s="1" t="s">
        <v>2</v>
      </c>
      <c r="C1" s="2"/>
      <c r="D1" s="2"/>
    </row>
    <row r="2" spans="1:4" ht="15.6" x14ac:dyDescent="0.3">
      <c r="A2" s="2">
        <v>91</v>
      </c>
      <c r="B2" s="2">
        <v>89.8</v>
      </c>
      <c r="C2" s="3"/>
      <c r="D2" s="2"/>
    </row>
    <row r="3" spans="1:4" ht="15.6" x14ac:dyDescent="0.3">
      <c r="A3" s="2">
        <v>87</v>
      </c>
      <c r="B3" s="2">
        <v>90.2</v>
      </c>
      <c r="C3" s="3" t="s">
        <v>0</v>
      </c>
      <c r="D3" s="2">
        <f>SUM(A:A)</f>
        <v>731</v>
      </c>
    </row>
    <row r="4" spans="1:4" ht="15.6" x14ac:dyDescent="0.3">
      <c r="A4" s="2">
        <v>86</v>
      </c>
      <c r="B4" s="2">
        <v>81.099999999999994</v>
      </c>
      <c r="C4" s="3" t="s">
        <v>3</v>
      </c>
      <c r="D4" s="2">
        <f>SUM(B:B)</f>
        <v>781.3</v>
      </c>
    </row>
    <row r="5" spans="1:4" ht="15.6" x14ac:dyDescent="0.3">
      <c r="A5" s="2">
        <v>88</v>
      </c>
      <c r="B5" s="2">
        <v>83</v>
      </c>
      <c r="C5" s="3" t="s">
        <v>4</v>
      </c>
      <c r="D5" s="2">
        <f>SUMPRODUCT(A:A, B:B)</f>
        <v>71851.77</v>
      </c>
    </row>
    <row r="6" spans="1:4" ht="15.6" x14ac:dyDescent="0.3">
      <c r="A6" s="2">
        <v>92.8</v>
      </c>
      <c r="B6" s="2">
        <v>90.9</v>
      </c>
      <c r="C6" s="3" t="s">
        <v>5</v>
      </c>
      <c r="D6" s="2">
        <f>SUMPRODUCT(A:A,A:A)</f>
        <v>66915.06</v>
      </c>
    </row>
    <row r="7" spans="1:4" ht="15.6" x14ac:dyDescent="0.3">
      <c r="A7" s="2">
        <v>95.2</v>
      </c>
      <c r="B7" s="2">
        <v>119</v>
      </c>
      <c r="C7" s="3" t="s">
        <v>6</v>
      </c>
      <c r="D7" s="2">
        <f>COUNT(A:A)</f>
        <v>8</v>
      </c>
    </row>
    <row r="8" spans="1:4" ht="15.6" x14ac:dyDescent="0.3">
      <c r="A8" s="2">
        <v>93.3</v>
      </c>
      <c r="B8" s="2">
        <v>94.9</v>
      </c>
      <c r="C8" s="3" t="s">
        <v>7</v>
      </c>
      <c r="D8" s="2">
        <f>(D7*D5-D3*D4)/(D7*D6-D3^2)</f>
        <v>3.8394338600076852</v>
      </c>
    </row>
    <row r="9" spans="1:4" ht="15.6" x14ac:dyDescent="0.3">
      <c r="A9" s="2">
        <v>97.7</v>
      </c>
      <c r="B9" s="2">
        <v>132.4</v>
      </c>
      <c r="C9" s="3" t="s">
        <v>8</v>
      </c>
      <c r="D9" s="2">
        <f>(D6*D4-D3*D5)/(D7*D6-D3^2)</f>
        <v>-253.16576895819699</v>
      </c>
    </row>
    <row r="10" spans="1:4" ht="15.6" x14ac:dyDescent="0.3">
      <c r="A10" s="2"/>
      <c r="B10" s="2"/>
      <c r="C10" s="2"/>
      <c r="D10" s="2"/>
    </row>
    <row r="11" spans="1:4" ht="15.6" x14ac:dyDescent="0.3">
      <c r="A11" s="2"/>
      <c r="B11" s="2"/>
      <c r="C11" s="3" t="s">
        <v>9</v>
      </c>
      <c r="D11" s="1" t="s">
        <v>10</v>
      </c>
    </row>
    <row r="12" spans="1:4" ht="15.6" x14ac:dyDescent="0.3">
      <c r="A12" s="2"/>
      <c r="B12" s="2"/>
      <c r="C12" s="2">
        <v>88.8</v>
      </c>
      <c r="D12" s="4">
        <f>D$8*C12 + D$9</f>
        <v>87.775957810485437</v>
      </c>
    </row>
    <row r="13" spans="1:4" ht="15.6" x14ac:dyDescent="0.3">
      <c r="A13" s="2"/>
      <c r="B13" s="2"/>
      <c r="C13" s="2">
        <v>96.9</v>
      </c>
      <c r="D13" s="4">
        <f t="shared" ref="D13:D14" si="0">D$8*C13 + D$9</f>
        <v>118.87537207654773</v>
      </c>
    </row>
    <row r="14" spans="1:4" ht="15.6" x14ac:dyDescent="0.3">
      <c r="A14" s="2"/>
      <c r="B14" s="2"/>
      <c r="C14" s="2">
        <v>94.7</v>
      </c>
      <c r="D14" s="4">
        <f t="shared" si="0"/>
        <v>110.42861758453083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G3" sqref="G3"/>
    </sheetView>
  </sheetViews>
  <sheetFormatPr defaultRowHeight="14.4" x14ac:dyDescent="0.3"/>
  <cols>
    <col min="3" max="3" width="9.5546875" customWidth="1"/>
  </cols>
  <sheetData>
    <row r="1" spans="1:4" ht="18" x14ac:dyDescent="0.35">
      <c r="A1" s="5" t="s">
        <v>1</v>
      </c>
      <c r="B1" s="5" t="s">
        <v>2</v>
      </c>
    </row>
    <row r="2" spans="1:4" ht="18" x14ac:dyDescent="0.35">
      <c r="A2" s="6">
        <v>91</v>
      </c>
      <c r="B2" s="6">
        <v>89.8</v>
      </c>
      <c r="C2" s="6" t="s">
        <v>7</v>
      </c>
      <c r="D2" s="6" t="s">
        <v>8</v>
      </c>
    </row>
    <row r="3" spans="1:4" ht="18" x14ac:dyDescent="0.35">
      <c r="A3" s="6">
        <v>87</v>
      </c>
      <c r="B3" s="6">
        <v>90.2</v>
      </c>
      <c r="C3" s="6">
        <f>SLOPE(B2:B9, A2:A9)</f>
        <v>3.8394338600075053</v>
      </c>
      <c r="D3" s="6">
        <f>INTERCEPT(B2:B9, A2:A9)</f>
        <v>-253.16576895818579</v>
      </c>
    </row>
    <row r="4" spans="1:4" ht="18" x14ac:dyDescent="0.35">
      <c r="A4" s="6">
        <v>86</v>
      </c>
      <c r="B4" s="6">
        <v>81.099999999999994</v>
      </c>
      <c r="C4" s="6"/>
      <c r="D4" s="6"/>
    </row>
    <row r="5" spans="1:4" ht="18" x14ac:dyDescent="0.35">
      <c r="A5" s="6">
        <v>88</v>
      </c>
      <c r="B5" s="6">
        <v>83</v>
      </c>
      <c r="C5" s="6"/>
      <c r="D5" s="6"/>
    </row>
    <row r="6" spans="1:4" ht="18" x14ac:dyDescent="0.35">
      <c r="A6" s="6">
        <v>92.8</v>
      </c>
      <c r="B6" s="6">
        <v>90.9</v>
      </c>
      <c r="C6" s="6"/>
      <c r="D6" s="6"/>
    </row>
    <row r="7" spans="1:4" ht="18" x14ac:dyDescent="0.35">
      <c r="A7" s="6">
        <v>95.2</v>
      </c>
      <c r="B7" s="6">
        <v>119</v>
      </c>
      <c r="C7" s="6"/>
      <c r="D7" s="6"/>
    </row>
    <row r="8" spans="1:4" ht="18" x14ac:dyDescent="0.35">
      <c r="A8" s="6">
        <v>93.3</v>
      </c>
      <c r="B8" s="6">
        <v>94.9</v>
      </c>
      <c r="C8" s="6"/>
      <c r="D8" s="6"/>
    </row>
    <row r="9" spans="1:4" ht="18" x14ac:dyDescent="0.35">
      <c r="A9" s="6">
        <v>97.7</v>
      </c>
      <c r="B9" s="6">
        <v>132.4</v>
      </c>
      <c r="C9" s="6"/>
      <c r="D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temp-sale</vt:lpstr>
      <vt:lpstr>LeastSquareApproximation</vt:lpstr>
      <vt:lpstr>SLOPE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2025-11-28T16:38:17Z</dcterms:modified>
</cp:coreProperties>
</file>